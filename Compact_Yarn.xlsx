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gamkuchhal/Desktop/Hiring Assessment/"/>
    </mc:Choice>
  </mc:AlternateContent>
  <xr:revisionPtr revIDLastSave="0" documentId="13_ncr:1_{C2469420-BC8B-B44E-9B04-0DC1EA145C4C}" xr6:coauthVersionLast="47" xr6:coauthVersionMax="47" xr10:uidLastSave="{00000000-0000-0000-0000-000000000000}"/>
  <bookViews>
    <workbookView xWindow="0" yWindow="660" windowWidth="20740" windowHeight="11320" tabRatio="500" xr2:uid="{00000000-000D-0000-FFFF-FFFF00000000}"/>
  </bookViews>
  <sheets>
    <sheet name="40s Comp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T20" i="1"/>
  <c r="N20" i="1"/>
  <c r="M20" i="1"/>
  <c r="H20" i="1"/>
  <c r="AA19" i="1"/>
  <c r="T19" i="1"/>
  <c r="N19" i="1"/>
  <c r="M19" i="1"/>
  <c r="H19" i="1"/>
  <c r="AA18" i="1"/>
  <c r="T18" i="1"/>
  <c r="N18" i="1"/>
  <c r="M18" i="1"/>
  <c r="H18" i="1"/>
  <c r="T17" i="1"/>
  <c r="H17" i="1"/>
  <c r="T16" i="1"/>
  <c r="H16" i="1"/>
  <c r="T14" i="1"/>
  <c r="H14" i="1"/>
  <c r="T12" i="1"/>
  <c r="H12" i="1"/>
  <c r="T11" i="1"/>
  <c r="H11" i="1"/>
  <c r="AA10" i="1"/>
  <c r="T10" i="1"/>
  <c r="H10" i="1"/>
  <c r="AA9" i="1"/>
  <c r="T9" i="1"/>
  <c r="N9" i="1"/>
  <c r="M9" i="1"/>
  <c r="H9" i="1"/>
  <c r="AA8" i="1"/>
  <c r="T8" i="1"/>
  <c r="N8" i="1"/>
  <c r="M8" i="1"/>
  <c r="H8" i="1"/>
  <c r="T7" i="1"/>
  <c r="N7" i="1"/>
  <c r="M7" i="1"/>
  <c r="H7" i="1"/>
  <c r="AA6" i="1"/>
  <c r="T6" i="1"/>
  <c r="N6" i="1"/>
  <c r="M6" i="1"/>
  <c r="H6" i="1"/>
</calcChain>
</file>

<file path=xl/sharedStrings.xml><?xml version="1.0" encoding="utf-8"?>
<sst xmlns="http://schemas.openxmlformats.org/spreadsheetml/2006/main" count="63" uniqueCount="39">
  <si>
    <t>YGR1/041CN0CCU002</t>
  </si>
  <si>
    <t>DATE</t>
  </si>
  <si>
    <t>Supplier</t>
  </si>
  <si>
    <t>LOT</t>
  </si>
  <si>
    <t>U.C.V%</t>
  </si>
  <si>
    <t>Thin</t>
  </si>
  <si>
    <t>Thick</t>
  </si>
  <si>
    <t>Neps</t>
  </si>
  <si>
    <t>Total Imp.</t>
  </si>
  <si>
    <t>H.</t>
  </si>
  <si>
    <t>H CV%</t>
  </si>
  <si>
    <t>Elong %</t>
  </si>
  <si>
    <t>Elong % 0.1 P</t>
  </si>
  <si>
    <t>RKM</t>
  </si>
  <si>
    <t>0.1 RKm</t>
  </si>
  <si>
    <t>Mean Count</t>
  </si>
  <si>
    <t>Count C.V%</t>
  </si>
  <si>
    <t>Strength C.V%</t>
  </si>
  <si>
    <t>C.S.P</t>
  </si>
  <si>
    <t>TPI</t>
  </si>
  <si>
    <t>T.M</t>
  </si>
  <si>
    <t>A1A2B1</t>
  </si>
  <si>
    <t>A3TOD2</t>
  </si>
  <si>
    <t>Obj. Faults</t>
  </si>
  <si>
    <t>EFG</t>
  </si>
  <si>
    <t>H1</t>
  </si>
  <si>
    <t>H2</t>
  </si>
  <si>
    <t>Total Classimat</t>
  </si>
  <si>
    <t>STD</t>
  </si>
  <si>
    <t>Tol</t>
  </si>
  <si>
    <t>(+/-0.6)</t>
  </si>
  <si>
    <t>(+/-0.1)</t>
  </si>
  <si>
    <t>ACHAL</t>
  </si>
  <si>
    <t>ACM1/0326-28</t>
  </si>
  <si>
    <t>ACM1N-29</t>
  </si>
  <si>
    <t>ACM1-27</t>
  </si>
  <si>
    <t>ACM1-28</t>
  </si>
  <si>
    <t>ACM1-30</t>
  </si>
  <si>
    <t>40 Compact Cotton NS for Sale Yarn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</si>
</sst>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10D0C"/>
      </patternFill>
    </fill>
    <fill>
      <patternFill patternType="solid">
        <fgColor theme="0"/>
        <bgColor rgb="FFEEEEEE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2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/>
    </xf>
    <xf numFmtId="0" fontId="5" fillId="0" borderId="0" xfId="0" applyFont="1"/>
    <xf numFmtId="1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2" xfId="0" applyBorder="1"/>
    <xf numFmtId="0" fontId="4" fillId="0" borderId="5" xfId="0" applyFont="1" applyBorder="1" applyAlignment="1">
      <alignment horizontal="left" vertical="top"/>
    </xf>
    <xf numFmtId="0" fontId="0" fillId="0" borderId="6" xfId="0" applyBorder="1"/>
    <xf numFmtId="0" fontId="4" fillId="0" borderId="1" xfId="0" applyFont="1" applyBorder="1" applyAlignment="1">
      <alignment horizontal="left" vertical="center"/>
    </xf>
    <xf numFmtId="0" fontId="0" fillId="0" borderId="4" xfId="0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EEEEE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BE5D6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2060"/>
      <rgbColor rgb="FF339966"/>
      <rgbColor rgb="FF003300"/>
      <rgbColor rgb="FF333300"/>
      <rgbColor rgb="FFC9211E"/>
      <rgbColor rgb="FFF10D0C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0"/>
  <sheetViews>
    <sheetView tabSelected="1" zoomScaleNormal="100" workbookViewId="0">
      <pane ySplit="3" topLeftCell="A14" activePane="bottomLeft" state="frozen"/>
      <selection pane="bottomLeft" activeCell="C26" sqref="C26"/>
    </sheetView>
  </sheetViews>
  <sheetFormatPr baseColWidth="10" defaultColWidth="8.6640625" defaultRowHeight="15" x14ac:dyDescent="0.2"/>
  <cols>
    <col min="1" max="1" width="10.5" customWidth="1"/>
    <col min="2" max="2" width="8.6640625" style="6" customWidth="1"/>
    <col min="3" max="3" width="14.6640625" customWidth="1"/>
    <col min="5" max="5" width="5.1640625" customWidth="1"/>
    <col min="6" max="6" width="5.83203125" customWidth="1"/>
    <col min="7" max="7" width="6.5" style="7" customWidth="1"/>
    <col min="8" max="8" width="5.5" style="7" customWidth="1"/>
    <col min="9" max="9" width="5" style="7" customWidth="1"/>
    <col min="10" max="10" width="6.83203125" style="7" customWidth="1"/>
    <col min="11" max="12" width="8.1640625" style="7" customWidth="1"/>
    <col min="13" max="13" width="7.83203125" style="7" customWidth="1"/>
    <col min="14" max="17" width="8.6640625" style="7" customWidth="1"/>
    <col min="18" max="18" width="6" style="7" customWidth="1"/>
    <col min="19" max="22" width="8.5" style="7" customWidth="1"/>
    <col min="23" max="23" width="6.5" style="7" customWidth="1"/>
    <col min="24" max="24" width="4.6640625" style="7" customWidth="1"/>
    <col min="25" max="26" width="4.5" style="7" customWidth="1"/>
    <col min="27" max="27" width="7.6640625" style="7" customWidth="1"/>
  </cols>
  <sheetData>
    <row r="1" spans="1:27" x14ac:dyDescent="0.2">
      <c r="A1" s="28" t="s">
        <v>38</v>
      </c>
      <c r="B1" s="29"/>
      <c r="C1" s="29"/>
    </row>
    <row r="2" spans="1:27" x14ac:dyDescent="0.2">
      <c r="A2" s="30" t="s">
        <v>0</v>
      </c>
      <c r="B2" s="31"/>
      <c r="C2" s="27"/>
    </row>
    <row r="3" spans="1:27" s="10" customFormat="1" ht="27.75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16" t="s">
        <v>15</v>
      </c>
      <c r="P3" s="15" t="s">
        <v>16</v>
      </c>
      <c r="Q3" s="15" t="s">
        <v>17</v>
      </c>
      <c r="R3" s="15" t="s">
        <v>18</v>
      </c>
      <c r="S3" s="15" t="s">
        <v>19</v>
      </c>
      <c r="T3" s="15" t="s">
        <v>20</v>
      </c>
      <c r="U3" s="15" t="s">
        <v>21</v>
      </c>
      <c r="V3" s="15" t="s">
        <v>22</v>
      </c>
      <c r="W3" s="15" t="s">
        <v>23</v>
      </c>
      <c r="X3" s="15" t="s">
        <v>24</v>
      </c>
      <c r="Y3" s="15" t="s">
        <v>25</v>
      </c>
      <c r="Z3" s="15" t="s">
        <v>26</v>
      </c>
      <c r="AA3" s="15" t="s">
        <v>27</v>
      </c>
    </row>
    <row r="4" spans="1:27" s="24" customFormat="1" x14ac:dyDescent="0.2">
      <c r="A4" s="21" t="s">
        <v>28</v>
      </c>
      <c r="B4" s="22"/>
      <c r="C4" s="21"/>
      <c r="D4" s="23">
        <v>12.5</v>
      </c>
      <c r="E4" s="21">
        <v>1</v>
      </c>
      <c r="F4" s="21">
        <v>15</v>
      </c>
      <c r="G4" s="21">
        <v>44</v>
      </c>
      <c r="H4" s="21">
        <v>60</v>
      </c>
      <c r="I4" s="23">
        <v>4</v>
      </c>
      <c r="J4" s="21"/>
      <c r="K4" s="23">
        <v>4.2</v>
      </c>
      <c r="L4" s="23">
        <v>2.94</v>
      </c>
      <c r="M4" s="23">
        <v>21</v>
      </c>
      <c r="N4" s="23">
        <v>15</v>
      </c>
      <c r="O4" s="23"/>
      <c r="P4" s="21"/>
      <c r="Q4" s="21"/>
      <c r="R4" s="21"/>
      <c r="S4" s="21">
        <v>26.6</v>
      </c>
      <c r="T4" s="21">
        <v>4.2</v>
      </c>
      <c r="U4" s="21">
        <v>60</v>
      </c>
      <c r="V4" s="21">
        <v>4</v>
      </c>
      <c r="W4" s="21">
        <v>0</v>
      </c>
      <c r="X4" s="21">
        <v>0</v>
      </c>
      <c r="Y4" s="26">
        <v>7</v>
      </c>
      <c r="Z4" s="27"/>
      <c r="AA4" s="21">
        <v>71</v>
      </c>
    </row>
    <row r="5" spans="1:27" s="24" customFormat="1" x14ac:dyDescent="0.2">
      <c r="A5" s="21" t="s">
        <v>29</v>
      </c>
      <c r="B5" s="22"/>
      <c r="C5" s="21"/>
      <c r="D5" s="23">
        <v>13</v>
      </c>
      <c r="E5" s="25">
        <v>2.5</v>
      </c>
      <c r="F5" s="25">
        <v>23</v>
      </c>
      <c r="G5" s="25">
        <v>59.5</v>
      </c>
      <c r="H5" s="21">
        <v>85</v>
      </c>
      <c r="I5" s="23">
        <v>4.5</v>
      </c>
      <c r="J5" s="21"/>
      <c r="K5" s="23">
        <v>3.8</v>
      </c>
      <c r="L5" s="23">
        <v>2.5</v>
      </c>
      <c r="M5" s="23">
        <v>20</v>
      </c>
      <c r="N5" s="23">
        <v>14</v>
      </c>
      <c r="O5" s="21"/>
      <c r="P5" s="21"/>
      <c r="Q5" s="21"/>
      <c r="R5" s="21"/>
      <c r="S5" s="21" t="s">
        <v>30</v>
      </c>
      <c r="T5" s="21" t="s">
        <v>31</v>
      </c>
      <c r="U5" s="21">
        <v>80</v>
      </c>
      <c r="V5" s="21">
        <v>6</v>
      </c>
      <c r="W5" s="21">
        <v>0</v>
      </c>
      <c r="X5" s="21">
        <v>0</v>
      </c>
      <c r="Y5" s="26">
        <v>9</v>
      </c>
      <c r="Z5" s="27"/>
      <c r="AA5" s="21">
        <v>95</v>
      </c>
    </row>
    <row r="6" spans="1:27" x14ac:dyDescent="0.2">
      <c r="A6" s="3">
        <v>46113</v>
      </c>
      <c r="B6" s="4" t="s">
        <v>32</v>
      </c>
      <c r="C6" s="1" t="s">
        <v>33</v>
      </c>
      <c r="D6" s="1">
        <v>13.46</v>
      </c>
      <c r="E6" s="2">
        <v>2.8</v>
      </c>
      <c r="F6" s="2">
        <v>36.299999999999997</v>
      </c>
      <c r="G6" s="17">
        <v>92.3</v>
      </c>
      <c r="H6" s="11">
        <f>+G6+F6+E6</f>
        <v>131.4</v>
      </c>
      <c r="I6" s="9">
        <v>4.1399999999999997</v>
      </c>
      <c r="J6" s="8">
        <v>4.5</v>
      </c>
      <c r="K6" s="14">
        <v>3.8</v>
      </c>
      <c r="L6" s="14">
        <v>2.2000000000000002</v>
      </c>
      <c r="M6" s="14">
        <f>20.68+0.7</f>
        <v>21.38</v>
      </c>
      <c r="N6" s="14">
        <f>13.88+0.7</f>
        <v>14.58</v>
      </c>
      <c r="O6" s="13">
        <v>40.68</v>
      </c>
      <c r="P6" s="9">
        <v>1.42</v>
      </c>
      <c r="Q6" s="9">
        <v>2.86</v>
      </c>
      <c r="R6" s="17">
        <v>3172</v>
      </c>
      <c r="S6" s="12">
        <v>26.7</v>
      </c>
      <c r="T6" s="12">
        <f>S6/SQRT(41)</f>
        <v>4.1698394424257819</v>
      </c>
      <c r="U6" s="17">
        <v>38</v>
      </c>
      <c r="V6" s="17">
        <v>2</v>
      </c>
      <c r="W6" s="17">
        <v>0</v>
      </c>
      <c r="X6" s="17">
        <v>0</v>
      </c>
      <c r="Y6" s="17">
        <v>4</v>
      </c>
      <c r="Z6" s="18">
        <v>4</v>
      </c>
      <c r="AA6" s="18">
        <f>+Z6+Y6+X6+W6+V6+U6</f>
        <v>48</v>
      </c>
    </row>
    <row r="7" spans="1:27" x14ac:dyDescent="0.2">
      <c r="A7" s="3">
        <v>46113</v>
      </c>
      <c r="B7" s="4" t="s">
        <v>32</v>
      </c>
      <c r="C7" s="1" t="s">
        <v>34</v>
      </c>
      <c r="D7" s="1">
        <v>12.87</v>
      </c>
      <c r="E7" s="2">
        <v>1</v>
      </c>
      <c r="F7" s="2">
        <v>30</v>
      </c>
      <c r="G7" s="17">
        <v>61.5</v>
      </c>
      <c r="H7" s="19">
        <f>+G7+F7+E7</f>
        <v>92.5</v>
      </c>
      <c r="I7" s="12">
        <v>3.67</v>
      </c>
      <c r="J7" s="12">
        <v>2.7</v>
      </c>
      <c r="K7" s="9">
        <v>3.85</v>
      </c>
      <c r="L7" s="9">
        <v>2.15</v>
      </c>
      <c r="M7" s="13">
        <f>21.26+0.7</f>
        <v>21.96</v>
      </c>
      <c r="N7" s="13">
        <f>14+0.7</f>
        <v>14.7</v>
      </c>
      <c r="O7" s="13">
        <v>40.17</v>
      </c>
      <c r="P7" s="9">
        <v>1.38</v>
      </c>
      <c r="Q7" s="9">
        <v>3.33</v>
      </c>
      <c r="R7" s="17">
        <v>3075</v>
      </c>
      <c r="S7" s="12">
        <v>27.02</v>
      </c>
      <c r="T7" s="12">
        <f>S7/SQRT(40)</f>
        <v>4.2722371188874799</v>
      </c>
      <c r="U7" s="17">
        <v>58</v>
      </c>
      <c r="V7" s="17">
        <v>0</v>
      </c>
      <c r="W7" s="17">
        <v>0</v>
      </c>
      <c r="X7" s="18">
        <v>0</v>
      </c>
      <c r="Y7" s="18">
        <v>0</v>
      </c>
      <c r="Z7" s="18">
        <v>0</v>
      </c>
      <c r="AA7" s="18">
        <v>58</v>
      </c>
    </row>
    <row r="8" spans="1:27" x14ac:dyDescent="0.2">
      <c r="A8" s="3">
        <v>46121</v>
      </c>
      <c r="B8" s="4" t="s">
        <v>32</v>
      </c>
      <c r="C8" s="1" t="s">
        <v>35</v>
      </c>
      <c r="D8" s="1">
        <v>13.72</v>
      </c>
      <c r="E8" s="2">
        <v>3.8</v>
      </c>
      <c r="F8" s="2">
        <v>43</v>
      </c>
      <c r="G8" s="17">
        <v>87</v>
      </c>
      <c r="H8" s="11">
        <f>+G8+F8+E8</f>
        <v>133.80000000000001</v>
      </c>
      <c r="I8" s="9">
        <v>4.16</v>
      </c>
      <c r="J8" s="8">
        <v>5.9</v>
      </c>
      <c r="K8" s="14">
        <v>3.86</v>
      </c>
      <c r="L8" s="14">
        <v>2.31</v>
      </c>
      <c r="M8" s="14">
        <f>20.45+0.7</f>
        <v>21.15</v>
      </c>
      <c r="N8" s="14">
        <f>14.89+0.7</f>
        <v>15.59</v>
      </c>
      <c r="O8" s="13">
        <v>41.45</v>
      </c>
      <c r="P8" s="9">
        <v>1.36</v>
      </c>
      <c r="Q8" s="9">
        <v>4.55</v>
      </c>
      <c r="R8" s="17">
        <v>2991</v>
      </c>
      <c r="S8" s="12">
        <v>26.2</v>
      </c>
      <c r="T8" s="12">
        <f>S8/SQRT(41)</f>
        <v>4.0917525614814787</v>
      </c>
      <c r="U8" s="17">
        <v>86.9</v>
      </c>
      <c r="V8" s="17">
        <v>5</v>
      </c>
      <c r="W8" s="17">
        <v>1</v>
      </c>
      <c r="X8" s="17">
        <v>0</v>
      </c>
      <c r="Y8" s="17">
        <v>11</v>
      </c>
      <c r="Z8" s="18">
        <v>8</v>
      </c>
      <c r="AA8" s="18">
        <f>+Z8+Y8+X8+W8+V8+U8</f>
        <v>111.9</v>
      </c>
    </row>
    <row r="9" spans="1:27" x14ac:dyDescent="0.2">
      <c r="A9" s="3">
        <v>46122</v>
      </c>
      <c r="B9" s="4" t="s">
        <v>32</v>
      </c>
      <c r="C9" s="1" t="s">
        <v>36</v>
      </c>
      <c r="D9" s="1">
        <v>13.48</v>
      </c>
      <c r="E9" s="2">
        <v>2.8</v>
      </c>
      <c r="F9" s="2">
        <v>36.5</v>
      </c>
      <c r="G9" s="17">
        <v>75</v>
      </c>
      <c r="H9" s="11">
        <f>+G9+F9+E9</f>
        <v>114.3</v>
      </c>
      <c r="I9" s="9">
        <v>4.1100000000000003</v>
      </c>
      <c r="J9" s="8">
        <v>8.1</v>
      </c>
      <c r="K9" s="14">
        <v>3.49</v>
      </c>
      <c r="L9" s="14">
        <v>2.11</v>
      </c>
      <c r="M9" s="14">
        <f>20.6+0.7</f>
        <v>21.3</v>
      </c>
      <c r="N9" s="14">
        <f>15.22+0.7</f>
        <v>15.92</v>
      </c>
      <c r="O9" s="13">
        <v>41.15</v>
      </c>
      <c r="P9" s="9">
        <v>0.9</v>
      </c>
      <c r="Q9" s="9">
        <v>3.23</v>
      </c>
      <c r="R9" s="17">
        <v>2964</v>
      </c>
      <c r="S9" s="12">
        <v>26.4</v>
      </c>
      <c r="T9" s="12">
        <f>S9/SQRT(41)</f>
        <v>4.1229873138592001</v>
      </c>
      <c r="U9" s="17">
        <v>113.9</v>
      </c>
      <c r="V9" s="17">
        <v>4</v>
      </c>
      <c r="W9" s="17">
        <v>0</v>
      </c>
      <c r="X9" s="17">
        <v>0</v>
      </c>
      <c r="Y9" s="17">
        <v>12</v>
      </c>
      <c r="Z9" s="18">
        <v>0</v>
      </c>
      <c r="AA9" s="18">
        <f>+Z9+Y9+X9+W9+V9+U9</f>
        <v>129.9</v>
      </c>
    </row>
    <row r="10" spans="1:27" x14ac:dyDescent="0.2">
      <c r="A10" s="3">
        <v>46123</v>
      </c>
      <c r="B10" s="4" t="s">
        <v>32</v>
      </c>
      <c r="C10" s="1" t="s">
        <v>37</v>
      </c>
      <c r="D10" s="1">
        <v>13.8</v>
      </c>
      <c r="E10" s="2">
        <v>7</v>
      </c>
      <c r="F10" s="2">
        <v>48</v>
      </c>
      <c r="G10" s="17">
        <v>81</v>
      </c>
      <c r="H10" s="11">
        <f>81+55</f>
        <v>136</v>
      </c>
      <c r="I10" s="9">
        <v>4.03</v>
      </c>
      <c r="J10" s="8">
        <v>6.3</v>
      </c>
      <c r="K10" s="14">
        <v>3.48</v>
      </c>
      <c r="L10" s="14">
        <v>2.1</v>
      </c>
      <c r="M10" s="14">
        <v>20.89</v>
      </c>
      <c r="N10" s="14">
        <v>15.23</v>
      </c>
      <c r="O10" s="13">
        <v>41.54</v>
      </c>
      <c r="P10" s="9">
        <v>2.2000000000000002</v>
      </c>
      <c r="Q10" s="9">
        <v>6.83</v>
      </c>
      <c r="R10" s="17">
        <v>2937</v>
      </c>
      <c r="S10" s="12">
        <v>26.2</v>
      </c>
      <c r="T10" s="12">
        <f>S10/SQRT(41)</f>
        <v>4.0917525614814787</v>
      </c>
      <c r="U10" s="17">
        <v>48</v>
      </c>
      <c r="V10" s="17">
        <v>0</v>
      </c>
      <c r="W10" s="17">
        <v>0</v>
      </c>
      <c r="X10" s="17">
        <v>0</v>
      </c>
      <c r="Y10" s="17">
        <v>6</v>
      </c>
      <c r="Z10" s="18">
        <v>4</v>
      </c>
      <c r="AA10" s="18">
        <f>+Z10+Y10+X10+W10+V10+U10</f>
        <v>58</v>
      </c>
    </row>
    <row r="11" spans="1:27" x14ac:dyDescent="0.2">
      <c r="A11" s="3">
        <v>46127</v>
      </c>
      <c r="B11" s="4" t="s">
        <v>32</v>
      </c>
      <c r="C11" s="1" t="s">
        <v>35</v>
      </c>
      <c r="D11" s="1">
        <v>13.57</v>
      </c>
      <c r="E11" s="2">
        <v>4</v>
      </c>
      <c r="F11" s="2">
        <v>32</v>
      </c>
      <c r="G11" s="17">
        <v>74</v>
      </c>
      <c r="H11" s="11">
        <f>74+36</f>
        <v>110</v>
      </c>
      <c r="I11" s="9">
        <v>4.1100000000000003</v>
      </c>
      <c r="J11" s="8">
        <v>7.1</v>
      </c>
      <c r="K11" s="13">
        <v>4</v>
      </c>
      <c r="L11" s="14">
        <v>2.27</v>
      </c>
      <c r="M11" s="14">
        <v>21.26</v>
      </c>
      <c r="N11" s="14">
        <v>15.38</v>
      </c>
      <c r="O11" s="13">
        <v>41.32</v>
      </c>
      <c r="P11" s="9">
        <v>1.1499999999999999</v>
      </c>
      <c r="Q11" s="9">
        <v>5.51</v>
      </c>
      <c r="R11" s="17">
        <v>3017</v>
      </c>
      <c r="S11" s="12">
        <v>26.32</v>
      </c>
      <c r="T11" s="12">
        <f>S11/SQRT(41)</f>
        <v>4.1104934129081121</v>
      </c>
      <c r="U11" s="17">
        <v>68</v>
      </c>
      <c r="V11" s="17">
        <v>0</v>
      </c>
      <c r="W11" s="17">
        <v>0</v>
      </c>
      <c r="X11" s="17">
        <v>0</v>
      </c>
      <c r="Y11" s="17">
        <v>6</v>
      </c>
      <c r="Z11" s="18">
        <v>0</v>
      </c>
      <c r="AA11" s="18">
        <v>74</v>
      </c>
    </row>
    <row r="12" spans="1:27" x14ac:dyDescent="0.2">
      <c r="A12" s="3">
        <v>46128</v>
      </c>
      <c r="B12" s="4" t="s">
        <v>32</v>
      </c>
      <c r="C12" s="1" t="s">
        <v>36</v>
      </c>
      <c r="D12" s="1">
        <v>13.44</v>
      </c>
      <c r="E12" s="2">
        <v>3</v>
      </c>
      <c r="F12" s="2">
        <v>33</v>
      </c>
      <c r="G12" s="17">
        <v>80</v>
      </c>
      <c r="H12" s="11">
        <f>80+36</f>
        <v>116</v>
      </c>
      <c r="I12" s="9">
        <v>4.21</v>
      </c>
      <c r="J12" s="8">
        <v>6.1</v>
      </c>
      <c r="K12" s="13">
        <v>3.79</v>
      </c>
      <c r="L12" s="14">
        <v>2.2799999999999998</v>
      </c>
      <c r="M12" s="14">
        <v>21.19</v>
      </c>
      <c r="N12" s="14">
        <v>13.72</v>
      </c>
      <c r="O12" s="13">
        <v>41.24</v>
      </c>
      <c r="P12" s="9">
        <v>1.08</v>
      </c>
      <c r="Q12" s="9">
        <v>5.16</v>
      </c>
      <c r="R12" s="17">
        <v>3021</v>
      </c>
      <c r="S12" s="12">
        <v>26.4</v>
      </c>
      <c r="T12" s="12">
        <f>S12/SQRT(41)</f>
        <v>4.1229873138592001</v>
      </c>
      <c r="U12" s="17">
        <v>63</v>
      </c>
      <c r="V12" s="17">
        <v>4</v>
      </c>
      <c r="W12" s="17">
        <v>0</v>
      </c>
      <c r="X12" s="17">
        <v>0</v>
      </c>
      <c r="Y12" s="17">
        <v>0</v>
      </c>
      <c r="Z12" s="18">
        <v>0</v>
      </c>
      <c r="AA12" s="18">
        <v>67</v>
      </c>
    </row>
    <row r="13" spans="1:27" x14ac:dyDescent="0.2">
      <c r="A13" s="3">
        <v>46128</v>
      </c>
      <c r="B13" s="4" t="s">
        <v>32</v>
      </c>
      <c r="C13" s="1" t="s">
        <v>36</v>
      </c>
      <c r="D13" s="1"/>
      <c r="E13" s="2"/>
      <c r="F13" s="2"/>
      <c r="G13" s="17"/>
      <c r="H13" s="11"/>
      <c r="I13" s="9"/>
      <c r="J13" s="8"/>
      <c r="K13" s="14">
        <v>3.36</v>
      </c>
      <c r="L13" s="14">
        <v>1.86</v>
      </c>
      <c r="M13" s="14">
        <v>20.87</v>
      </c>
      <c r="N13" s="14">
        <v>15.01</v>
      </c>
      <c r="O13" s="13"/>
      <c r="P13" s="9"/>
      <c r="Q13" s="9"/>
      <c r="R13" s="17"/>
      <c r="S13" s="12"/>
      <c r="T13" s="12"/>
      <c r="U13" s="17"/>
      <c r="V13" s="17"/>
      <c r="W13" s="17"/>
      <c r="X13" s="17"/>
      <c r="Y13" s="17"/>
      <c r="Z13" s="18"/>
      <c r="AA13" s="18"/>
    </row>
    <row r="14" spans="1:27" x14ac:dyDescent="0.2">
      <c r="A14" s="3">
        <v>46129</v>
      </c>
      <c r="B14" s="4" t="s">
        <v>32</v>
      </c>
      <c r="C14" s="1" t="s">
        <v>34</v>
      </c>
      <c r="D14" s="1">
        <v>12.98</v>
      </c>
      <c r="E14" s="2">
        <v>1</v>
      </c>
      <c r="F14" s="2">
        <v>29</v>
      </c>
      <c r="G14" s="17">
        <v>56</v>
      </c>
      <c r="H14" s="19">
        <f>+G14+F14+E14</f>
        <v>86</v>
      </c>
      <c r="I14" s="12">
        <v>3.62</v>
      </c>
      <c r="J14" s="12">
        <v>6.6</v>
      </c>
      <c r="K14" s="9">
        <v>4.18</v>
      </c>
      <c r="L14" s="9">
        <v>2.38</v>
      </c>
      <c r="M14" s="13">
        <v>21.53</v>
      </c>
      <c r="N14" s="13">
        <v>13.24</v>
      </c>
      <c r="O14" s="13">
        <v>40.58</v>
      </c>
      <c r="P14" s="9">
        <v>1.02</v>
      </c>
      <c r="Q14" s="9">
        <v>11.39</v>
      </c>
      <c r="R14" s="17">
        <v>2983</v>
      </c>
      <c r="S14" s="12">
        <v>26.83</v>
      </c>
      <c r="T14" s="12">
        <f>S14/SQRT(40)</f>
        <v>4.2421954811158802</v>
      </c>
      <c r="U14" s="17">
        <v>46</v>
      </c>
      <c r="V14" s="17">
        <v>0</v>
      </c>
      <c r="W14" s="17">
        <v>0</v>
      </c>
      <c r="X14" s="18">
        <v>0</v>
      </c>
      <c r="Y14" s="18">
        <v>7</v>
      </c>
      <c r="Z14" s="18">
        <v>14</v>
      </c>
      <c r="AA14" s="18">
        <v>67</v>
      </c>
    </row>
    <row r="15" spans="1:27" x14ac:dyDescent="0.2">
      <c r="A15" s="3">
        <v>46129</v>
      </c>
      <c r="B15" s="4" t="s">
        <v>32</v>
      </c>
      <c r="C15" s="1" t="s">
        <v>34</v>
      </c>
      <c r="D15" s="1"/>
      <c r="E15" s="2"/>
      <c r="F15" s="2"/>
      <c r="G15" s="17"/>
      <c r="H15" s="19"/>
      <c r="I15" s="12"/>
      <c r="J15" s="12"/>
      <c r="K15" s="9">
        <v>3.39</v>
      </c>
      <c r="L15" s="9">
        <v>1.95</v>
      </c>
      <c r="M15" s="13">
        <v>22.17</v>
      </c>
      <c r="N15" s="13">
        <v>15.34</v>
      </c>
      <c r="O15" s="13">
        <v>40.1</v>
      </c>
      <c r="P15" s="9">
        <v>1.18</v>
      </c>
      <c r="Q15" s="9">
        <v>7.25</v>
      </c>
      <c r="R15" s="17">
        <v>3172</v>
      </c>
      <c r="S15" s="12"/>
      <c r="T15" s="12"/>
      <c r="U15" s="17"/>
      <c r="V15" s="17"/>
      <c r="W15" s="17"/>
      <c r="X15" s="18"/>
      <c r="Y15" s="18"/>
      <c r="Z15" s="18"/>
      <c r="AA15" s="18"/>
    </row>
    <row r="16" spans="1:27" x14ac:dyDescent="0.2">
      <c r="A16" s="3">
        <v>46136</v>
      </c>
      <c r="B16" s="4" t="s">
        <v>32</v>
      </c>
      <c r="C16" s="1" t="s">
        <v>36</v>
      </c>
      <c r="D16" s="1">
        <v>13.44</v>
      </c>
      <c r="E16" s="2">
        <v>3</v>
      </c>
      <c r="F16" s="2">
        <v>27</v>
      </c>
      <c r="G16" s="17">
        <v>55</v>
      </c>
      <c r="H16" s="11">
        <f>55+30</f>
        <v>85</v>
      </c>
      <c r="I16" s="9">
        <v>4.1100000000000003</v>
      </c>
      <c r="J16" s="8">
        <v>4.7</v>
      </c>
      <c r="K16" s="14">
        <v>3.81</v>
      </c>
      <c r="L16" s="14">
        <v>1.87</v>
      </c>
      <c r="M16" s="14">
        <v>21.61</v>
      </c>
      <c r="N16" s="14">
        <v>13.72</v>
      </c>
      <c r="O16" s="13">
        <v>40.64</v>
      </c>
      <c r="P16" s="9">
        <v>1.29</v>
      </c>
      <c r="Q16" s="9">
        <v>4.8899999999999997</v>
      </c>
      <c r="R16" s="17">
        <v>3039</v>
      </c>
      <c r="S16" s="12">
        <v>26.4</v>
      </c>
      <c r="T16" s="12">
        <f>S16/SQRT(41)</f>
        <v>4.1229873138592001</v>
      </c>
      <c r="U16" s="17">
        <v>55</v>
      </c>
      <c r="V16" s="17">
        <v>3</v>
      </c>
      <c r="W16" s="17">
        <v>2</v>
      </c>
      <c r="X16" s="17">
        <v>1</v>
      </c>
      <c r="Y16" s="17">
        <v>7</v>
      </c>
      <c r="Z16" s="18">
        <v>10</v>
      </c>
      <c r="AA16" s="18">
        <v>78</v>
      </c>
    </row>
    <row r="17" spans="1:27" x14ac:dyDescent="0.2">
      <c r="A17" s="3">
        <v>46136</v>
      </c>
      <c r="B17" s="4" t="s">
        <v>32</v>
      </c>
      <c r="C17" s="1" t="s">
        <v>34</v>
      </c>
      <c r="D17" s="1">
        <v>13.09</v>
      </c>
      <c r="E17" s="2">
        <v>2</v>
      </c>
      <c r="F17" s="2">
        <v>32</v>
      </c>
      <c r="G17" s="17">
        <v>48</v>
      </c>
      <c r="H17" s="19">
        <f>48+34</f>
        <v>82</v>
      </c>
      <c r="I17" s="12">
        <v>3.57</v>
      </c>
      <c r="J17" s="12">
        <v>3.6</v>
      </c>
      <c r="K17" s="9">
        <v>4.1500000000000004</v>
      </c>
      <c r="L17" s="9">
        <v>2.5</v>
      </c>
      <c r="M17" s="13">
        <v>21.6</v>
      </c>
      <c r="N17" s="13">
        <v>14.16</v>
      </c>
      <c r="O17" s="13">
        <v>40.01</v>
      </c>
      <c r="P17" s="9">
        <v>1.49</v>
      </c>
      <c r="Q17" s="9">
        <v>9.1</v>
      </c>
      <c r="R17" s="17">
        <v>2969</v>
      </c>
      <c r="S17" s="12">
        <v>26.43</v>
      </c>
      <c r="T17" s="12">
        <f>S17/SQRT(40)</f>
        <v>4.1789499279125133</v>
      </c>
      <c r="U17" s="17">
        <v>45</v>
      </c>
      <c r="V17" s="17">
        <v>0</v>
      </c>
      <c r="W17" s="17">
        <v>0</v>
      </c>
      <c r="X17" s="18">
        <v>0</v>
      </c>
      <c r="Y17" s="18">
        <v>3</v>
      </c>
      <c r="Z17" s="18">
        <v>4</v>
      </c>
      <c r="AA17" s="18">
        <v>51</v>
      </c>
    </row>
    <row r="18" spans="1:27" x14ac:dyDescent="0.2">
      <c r="A18" s="3">
        <v>46139</v>
      </c>
      <c r="B18" s="4" t="s">
        <v>32</v>
      </c>
      <c r="C18" s="1" t="s">
        <v>36</v>
      </c>
      <c r="D18" s="1">
        <v>13.86</v>
      </c>
      <c r="E18" s="2">
        <v>5</v>
      </c>
      <c r="F18" s="2">
        <v>41.7</v>
      </c>
      <c r="G18" s="17">
        <v>83.3</v>
      </c>
      <c r="H18" s="11">
        <f>+G18+F18+E18</f>
        <v>130</v>
      </c>
      <c r="I18" s="9">
        <v>4.1500000000000004</v>
      </c>
      <c r="J18" s="8">
        <v>8.1</v>
      </c>
      <c r="K18" s="14">
        <v>4.25</v>
      </c>
      <c r="L18" s="14">
        <v>2.72</v>
      </c>
      <c r="M18" s="14">
        <f>20.44+0.7</f>
        <v>21.14</v>
      </c>
      <c r="N18" s="14">
        <f>15.01+0.7</f>
        <v>15.709999999999999</v>
      </c>
      <c r="O18" s="13">
        <v>41.1</v>
      </c>
      <c r="P18" s="9">
        <v>0.7</v>
      </c>
      <c r="Q18" s="9">
        <v>4.05</v>
      </c>
      <c r="R18" s="17">
        <v>3036</v>
      </c>
      <c r="S18" s="12">
        <v>26.7</v>
      </c>
      <c r="T18" s="12">
        <f>S18/SQRT(41)</f>
        <v>4.1698394424257819</v>
      </c>
      <c r="U18" s="17">
        <v>40</v>
      </c>
      <c r="V18" s="17">
        <v>0</v>
      </c>
      <c r="W18" s="17">
        <v>0</v>
      </c>
      <c r="X18" s="17">
        <v>0</v>
      </c>
      <c r="Y18" s="17">
        <v>4</v>
      </c>
      <c r="Z18" s="18">
        <v>30</v>
      </c>
      <c r="AA18" s="18">
        <f>+Z18+Y18+X18+W18+V18+U18</f>
        <v>74</v>
      </c>
    </row>
    <row r="19" spans="1:27" x14ac:dyDescent="0.2">
      <c r="A19" s="3">
        <v>46140</v>
      </c>
      <c r="B19" s="4" t="s">
        <v>32</v>
      </c>
      <c r="C19" s="1" t="s">
        <v>37</v>
      </c>
      <c r="D19" s="1">
        <v>13.83</v>
      </c>
      <c r="E19" s="2">
        <v>5.8</v>
      </c>
      <c r="F19" s="2">
        <v>39</v>
      </c>
      <c r="G19" s="17">
        <v>74.5</v>
      </c>
      <c r="H19" s="11">
        <f>+G19+F19+E19</f>
        <v>119.3</v>
      </c>
      <c r="I19" s="9">
        <v>4.1900000000000004</v>
      </c>
      <c r="J19" s="8">
        <v>6.8</v>
      </c>
      <c r="K19" s="14">
        <v>3.73</v>
      </c>
      <c r="L19" s="14">
        <v>2.2000000000000002</v>
      </c>
      <c r="M19" s="14">
        <f>20.61+0.7</f>
        <v>21.31</v>
      </c>
      <c r="N19" s="14">
        <f>14.35+0.7</f>
        <v>15.049999999999999</v>
      </c>
      <c r="O19" s="13">
        <v>40.909999999999997</v>
      </c>
      <c r="P19" s="9">
        <v>1.75</v>
      </c>
      <c r="Q19" s="9">
        <v>4.6500000000000004</v>
      </c>
      <c r="R19" s="17">
        <v>2968</v>
      </c>
      <c r="S19" s="12">
        <v>26</v>
      </c>
      <c r="T19" s="12">
        <f>S19/SQRT(41)</f>
        <v>4.0605178091037581</v>
      </c>
      <c r="U19" s="17">
        <v>43</v>
      </c>
      <c r="V19" s="17">
        <v>0</v>
      </c>
      <c r="W19" s="17">
        <v>0</v>
      </c>
      <c r="X19" s="17">
        <v>0</v>
      </c>
      <c r="Y19" s="17">
        <v>5</v>
      </c>
      <c r="Z19" s="17">
        <v>0</v>
      </c>
      <c r="AA19" s="18">
        <f>+Z19+Y19+X19+W19+V19+U19</f>
        <v>48</v>
      </c>
    </row>
    <row r="20" spans="1:27" x14ac:dyDescent="0.2">
      <c r="A20" s="3">
        <v>46142</v>
      </c>
      <c r="B20" s="4" t="s">
        <v>32</v>
      </c>
      <c r="C20" s="1" t="s">
        <v>35</v>
      </c>
      <c r="D20" s="1">
        <v>13.79</v>
      </c>
      <c r="E20" s="2">
        <v>9</v>
      </c>
      <c r="F20" s="2">
        <v>47.3</v>
      </c>
      <c r="G20" s="17">
        <v>76.5</v>
      </c>
      <c r="H20" s="11">
        <f>+G20+F20+E20</f>
        <v>132.80000000000001</v>
      </c>
      <c r="I20" s="9">
        <v>4.2699999999999996</v>
      </c>
      <c r="J20" s="8">
        <v>7</v>
      </c>
      <c r="K20" s="14">
        <v>4.0199999999999996</v>
      </c>
      <c r="L20" s="14">
        <v>2.58</v>
      </c>
      <c r="M20" s="14">
        <f>20.5+0.7</f>
        <v>21.2</v>
      </c>
      <c r="N20" s="14">
        <f>14.48+0.7</f>
        <v>15.18</v>
      </c>
      <c r="O20" s="13">
        <v>40.57</v>
      </c>
      <c r="P20" s="9">
        <v>2.13</v>
      </c>
      <c r="Q20" s="9">
        <v>5.16</v>
      </c>
      <c r="R20" s="17">
        <v>2779</v>
      </c>
      <c r="S20" s="12">
        <v>26.32</v>
      </c>
      <c r="T20" s="12">
        <f>S20/SQRT(41)</f>
        <v>4.1104934129081121</v>
      </c>
      <c r="U20" s="17">
        <v>85</v>
      </c>
      <c r="V20" s="17">
        <v>2</v>
      </c>
      <c r="W20" s="17">
        <v>0</v>
      </c>
      <c r="X20" s="17">
        <v>0</v>
      </c>
      <c r="Y20" s="17">
        <v>2</v>
      </c>
      <c r="Z20" s="17">
        <v>1</v>
      </c>
      <c r="AA20" s="18">
        <f>+Z20+Y20+X20+W20+V20+U20</f>
        <v>90</v>
      </c>
    </row>
  </sheetData>
  <mergeCells count="4">
    <mergeCell ref="Y4:Z4"/>
    <mergeCell ref="A1:C1"/>
    <mergeCell ref="Y5:Z5"/>
    <mergeCell ref="A2:C2"/>
  </mergeCells>
  <pageMargins left="0.51181102362204722" right="0" top="0.74803149606299213" bottom="0" header="0" footer="0"/>
  <pageSetup scale="56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40s Compact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Lab</dc:creator>
  <cp:lastModifiedBy>Sugam Kuchhal</cp:lastModifiedBy>
  <cp:revision>672</cp:revision>
  <cp:lastPrinted>2026-06-08T04:41:24Z</cp:lastPrinted>
  <dcterms:created xsi:type="dcterms:W3CDTF">2017-05-28T10:06:24Z</dcterms:created>
  <dcterms:modified xsi:type="dcterms:W3CDTF">2026-06-25T04:35:21Z</dcterms:modified>
  <dc:language>en-IN</dc:language>
</cp:coreProperties>
</file>